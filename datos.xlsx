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DashboardBPUN\"/>
    </mc:Choice>
  </mc:AlternateContent>
  <xr:revisionPtr revIDLastSave="0" documentId="13_ncr:1_{A385C547-20D2-4061-B2B7-2D6858723AA0}" xr6:coauthVersionLast="47" xr6:coauthVersionMax="47" xr10:uidLastSave="{00000000-0000-0000-0000-000000000000}"/>
  <bookViews>
    <workbookView xWindow="-120" yWindow="-120" windowWidth="29040" windowHeight="15720" xr2:uid="{7CA11827-7B77-45A3-BB78-47117283BE61}"/>
  </bookViews>
  <sheets>
    <sheet name="BPUNONLINE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" i="14" l="1"/>
  <c r="C6" i="14"/>
  <c r="D7" i="14"/>
  <c r="D6" i="14"/>
  <c r="F10" i="14"/>
  <c r="D3" i="14" l="1"/>
  <c r="F3" i="14" s="1"/>
  <c r="H2" i="14"/>
  <c r="E2" i="14"/>
  <c r="F2" i="14"/>
  <c r="G2" i="14"/>
  <c r="F4" i="14"/>
  <c r="F5" i="14"/>
  <c r="F6" i="14"/>
  <c r="F7" i="14"/>
  <c r="F8" i="14"/>
  <c r="F9" i="14"/>
  <c r="H10" i="14"/>
  <c r="H3" i="14"/>
  <c r="H4" i="14"/>
  <c r="H5" i="14"/>
  <c r="H6" i="14"/>
  <c r="H7" i="14"/>
  <c r="H8" i="14"/>
  <c r="H9" i="14"/>
  <c r="E3" i="14"/>
  <c r="G3" i="14" l="1"/>
  <c r="G4" i="14"/>
  <c r="G5" i="14"/>
  <c r="G6" i="14"/>
  <c r="G7" i="14"/>
  <c r="G8" i="14"/>
  <c r="G9" i="14"/>
  <c r="G10" i="14"/>
  <c r="E4" i="14"/>
  <c r="E5" i="14"/>
  <c r="E6" i="14"/>
  <c r="E7" i="14"/>
  <c r="E8" i="14"/>
  <c r="E9" i="14"/>
  <c r="E10" i="14"/>
  <c r="D4" i="14" l="1"/>
  <c r="D9" i="14"/>
  <c r="D10" i="14"/>
  <c r="D5" i="14"/>
</calcChain>
</file>

<file path=xl/sharedStrings.xml><?xml version="1.0" encoding="utf-8"?>
<sst xmlns="http://schemas.openxmlformats.org/spreadsheetml/2006/main" count="27" uniqueCount="27">
  <si>
    <t>400000047042 UDF</t>
  </si>
  <si>
    <t>400000047013 UGI</t>
  </si>
  <si>
    <t>400000047011 SGC</t>
  </si>
  <si>
    <t>400000047010 SGA</t>
  </si>
  <si>
    <t>400000047009 IRI</t>
  </si>
  <si>
    <t>400000047005 Egre</t>
  </si>
  <si>
    <t>400000047004 IMANI</t>
  </si>
  <si>
    <t>400000047003 GTI</t>
  </si>
  <si>
    <t>400000047001 Medialab</t>
  </si>
  <si>
    <t>Código QUIPU</t>
  </si>
  <si>
    <t>Observaciones</t>
  </si>
  <si>
    <t>Valor Apropiación Vigencia</t>
  </si>
  <si>
    <t>Valor compromisos</t>
  </si>
  <si>
    <t>Saldo por Comprometer</t>
  </si>
  <si>
    <t>Valor Compromisos + CDP en Trámite</t>
  </si>
  <si>
    <t>saldo por comprometer con  CDP</t>
  </si>
  <si>
    <t>% Comprometido contractualmente</t>
  </si>
  <si>
    <t>% por comprometer con CDP en Trámite</t>
  </si>
  <si>
    <t>Saldo para contratación del profesional que dearrollará la página web.</t>
  </si>
  <si>
    <t>Saldo para renovación de licencias tecnológicas en agosto</t>
  </si>
  <si>
    <t>El excedente para reunión coordinadores compra de tiquetes y viáticos: 2.066.683</t>
  </si>
  <si>
    <t>Saldo para gastos de viáticos de funcionarios</t>
  </si>
  <si>
    <t>Falta de apoyo profesional en el área y todo se concentra en el 2do semestre (Pendiente traslados)</t>
  </si>
  <si>
    <r>
      <t xml:space="preserve">
-Guías de antropología (Lab): 13.200.000
-Revista mundo amazónico  (diagramación): 3.500.000
-Libro Profesor Camilo 15.000.000
-Falta comprometer </t>
    </r>
    <r>
      <rPr>
        <b/>
        <sz val="11"/>
        <color theme="1"/>
        <rFont val="Calibri"/>
        <family val="2"/>
        <scheme val="minor"/>
      </rPr>
      <t xml:space="preserve"> 35.902.014</t>
    </r>
  </si>
  <si>
    <r>
      <rPr>
        <b/>
        <sz val="11"/>
        <color theme="1"/>
        <rFont val="Calibri"/>
        <family val="2"/>
        <scheme val="minor"/>
      </rPr>
      <t>Ejecución en curso con CDP:</t>
    </r>
    <r>
      <rPr>
        <sz val="11"/>
        <color theme="1"/>
        <rFont val="Calibri"/>
        <family val="2"/>
        <scheme val="minor"/>
      </rPr>
      <t xml:space="preserve">
-Evento FESTA: 3.999.936 
-Instalación de placas del inventario forestal: 16.425.019 
-Gestión de residuos peligrosos para disposición final 2.999.952
</t>
    </r>
    <r>
      <rPr>
        <b/>
        <sz val="11"/>
        <color theme="1"/>
        <rFont val="Calibri"/>
        <family val="2"/>
        <scheme val="minor"/>
      </rPr>
      <t>Proyectado:
-</t>
    </r>
    <r>
      <rPr>
        <sz val="11"/>
        <color theme="1"/>
        <rFont val="Calibri"/>
        <family val="2"/>
        <scheme val="minor"/>
      </rPr>
      <t xml:space="preserve">Insumos con SODECAR: 40.000.000 
-Profesional para solventar las necesidades de Fortalecimiento de las Capacidades de captación y distribución de agua potable. 70.000.000 </t>
    </r>
  </si>
  <si>
    <t xml:space="preserve">
-Se proyecta realizar la campaña en articulación con un proveedor, se requiere aval del Director de Sede: 40.000.000
-Prestación de servicios profesionales: 56.849.696</t>
  </si>
  <si>
    <t>El recurso fue comprometido contractualmente en su totalidad, pendiente ejecución.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</si>
</sst>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2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0" xfId="1"/>
    <xf numFmtId="0" fontId="2" fillId="0" borderId="0" xfId="1" applyAlignment="1">
      <alignment horizontal="left" vertical="center" indent="1"/>
    </xf>
    <xf numFmtId="0" fontId="4" fillId="3" borderId="1" xfId="1" applyFont="1" applyFill="1" applyBorder="1" applyAlignment="1">
      <alignment horizontal="center" vertical="center" wrapText="1"/>
    </xf>
    <xf numFmtId="9" fontId="4" fillId="0" borderId="1" xfId="2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2" borderId="1" xfId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164" fontId="3" fillId="0" borderId="1" xfId="3" applyNumberFormat="1" applyFont="1" applyBorder="1" applyAlignment="1">
      <alignment vertical="center" wrapText="1"/>
    </xf>
    <xf numFmtId="164" fontId="3" fillId="2" borderId="1" xfId="3" applyNumberFormat="1" applyFont="1" applyFill="1" applyBorder="1" applyAlignment="1">
      <alignment vertical="center" wrapText="1"/>
    </xf>
    <xf numFmtId="164" fontId="5" fillId="0" borderId="1" xfId="3" applyNumberFormat="1" applyFont="1" applyBorder="1" applyAlignment="1">
      <alignment vertical="center" wrapText="1"/>
    </xf>
    <xf numFmtId="0" fontId="7" fillId="0" borderId="0" xfId="0" applyFont="1"/>
  </cellXfs>
  <cellStyles count="4">
    <cellStyle name="Moneda" xfId="3" builtinId="4"/>
    <cellStyle name="Normal" xfId="0" builtinId="0"/>
    <cellStyle name="Normal 2" xfId="1" xr:uid="{A1977BB7-C4B9-4B62-A4F6-DF20810F36B6}"/>
    <cellStyle name="Porcentaje 2" xfId="2" xr:uid="{95A269F0-FDBF-420A-8C1F-EA732F994DC8}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AFEC6"/>
      <color rgb="FFCEF8FE"/>
      <color rgb="FFEBEBFF"/>
      <color rgb="FFD5FFDC"/>
      <color rgb="FFFFE7F6"/>
      <color rgb="FFF26448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1840-27EB-43A7-86CC-12ED6B7ECF92}">
  <sheetPr>
    <pageSetUpPr fitToPage="1"/>
  </sheetPr>
  <dimension ref="A1:M19"/>
  <sheetViews>
    <sheetView tabSelected="1" zoomScale="85" zoomScaleNormal="85" workbookViewId="0">
      <selection activeCell="G13" sqref="G13"/>
    </sheetView>
  </sheetViews>
  <sheetFormatPr baseColWidth="10" defaultRowHeight="15" x14ac:dyDescent="0.25"/>
  <cols>
    <col min="1" max="1" width="20.7109375" bestFit="1" customWidth="1"/>
    <col min="2" max="2" width="22.85546875" customWidth="1"/>
    <col min="3" max="3" width="14.140625" customWidth="1"/>
    <col min="4" max="4" width="26.28515625" customWidth="1"/>
    <col min="5" max="6" width="14.5703125" customWidth="1"/>
    <col min="7" max="7" width="15.7109375" customWidth="1"/>
    <col min="8" max="8" width="19.28515625" customWidth="1"/>
    <col min="9" max="9" width="73" customWidth="1"/>
  </cols>
  <sheetData>
    <row r="1" spans="1:13" ht="55.5" customHeight="1" x14ac:dyDescent="0.25">
      <c r="A1" s="4" t="s">
        <v>9</v>
      </c>
      <c r="B1" s="4" t="s">
        <v>11</v>
      </c>
      <c r="C1" s="4" t="s">
        <v>12</v>
      </c>
      <c r="D1" s="4" t="s">
        <v>14</v>
      </c>
      <c r="E1" s="4" t="s">
        <v>13</v>
      </c>
      <c r="F1" s="4" t="s">
        <v>15</v>
      </c>
      <c r="G1" s="4" t="s">
        <v>16</v>
      </c>
      <c r="H1" s="4" t="s">
        <v>17</v>
      </c>
      <c r="I1" s="4" t="s">
        <v>10</v>
      </c>
    </row>
    <row r="2" spans="1:13" ht="24.75" customHeight="1" x14ac:dyDescent="0.25">
      <c r="A2" s="6" t="s">
        <v>8</v>
      </c>
      <c r="B2" s="9">
        <v>94800000</v>
      </c>
      <c r="C2" s="9">
        <v>0</v>
      </c>
      <c r="D2" s="11">
        <v>45200000</v>
      </c>
      <c r="E2" s="9">
        <f>B2-C2</f>
        <v>94800000</v>
      </c>
      <c r="F2" s="9">
        <f>B2-D2</f>
        <v>49600000</v>
      </c>
      <c r="G2" s="5">
        <f>IF(B2=0,0,C2/B2)</f>
        <v>0</v>
      </c>
      <c r="H2" s="5">
        <f>IF(B2=0,0,D2/B2)</f>
        <v>0.47679324894514769</v>
      </c>
      <c r="I2" s="8" t="s">
        <v>18</v>
      </c>
    </row>
    <row r="3" spans="1:13" ht="18.75" customHeight="1" x14ac:dyDescent="0.25">
      <c r="A3" s="7" t="s">
        <v>7</v>
      </c>
      <c r="B3" s="10">
        <v>201960587</v>
      </c>
      <c r="C3" s="10">
        <v>59286000</v>
      </c>
      <c r="D3" s="10">
        <f>10472000+46547427+36200000+12637947+18396000+7000000+31846724+21153276</f>
        <v>184253374</v>
      </c>
      <c r="E3" s="10">
        <f>B3-C3</f>
        <v>142674587</v>
      </c>
      <c r="F3" s="10">
        <f t="shared" ref="F3:F9" si="0">B3-D3</f>
        <v>17707213</v>
      </c>
      <c r="G3" s="5">
        <f t="shared" ref="G3:G10" si="1">IF(B3=0,0,C3/B3)</f>
        <v>0.2935523256327236</v>
      </c>
      <c r="H3" s="5">
        <f t="shared" ref="H3:H10" si="2">IF(B3=0,0,D3/B3)</f>
        <v>0.91232342278743728</v>
      </c>
      <c r="I3" s="1" t="s">
        <v>19</v>
      </c>
      <c r="M3" s="3"/>
    </row>
    <row r="4" spans="1:13" ht="75" x14ac:dyDescent="0.25">
      <c r="A4" s="6" t="s">
        <v>6</v>
      </c>
      <c r="B4" s="9">
        <v>113998014</v>
      </c>
      <c r="C4" s="9">
        <v>59596000</v>
      </c>
      <c r="D4" s="9">
        <f>13596000+46000000</f>
        <v>59596000</v>
      </c>
      <c r="E4" s="9">
        <f t="shared" ref="E4:E10" si="3">B4-C4</f>
        <v>54402014</v>
      </c>
      <c r="F4" s="9">
        <f t="shared" si="0"/>
        <v>54402014</v>
      </c>
      <c r="G4" s="5">
        <f t="shared" si="1"/>
        <v>0.5227810372205256</v>
      </c>
      <c r="H4" s="5">
        <f t="shared" si="2"/>
        <v>0.5227810372205256</v>
      </c>
      <c r="I4" s="8" t="s">
        <v>23</v>
      </c>
      <c r="M4" s="2"/>
    </row>
    <row r="5" spans="1:13" ht="44.25" customHeight="1" x14ac:dyDescent="0.25">
      <c r="A5" s="7" t="s">
        <v>5</v>
      </c>
      <c r="B5" s="10">
        <v>7992207</v>
      </c>
      <c r="C5" s="10">
        <v>3799984</v>
      </c>
      <c r="D5" s="10">
        <f>2799984+1000000+1600000+525540</f>
        <v>5925524</v>
      </c>
      <c r="E5" s="10">
        <f t="shared" si="3"/>
        <v>4192223</v>
      </c>
      <c r="F5" s="10">
        <f t="shared" si="0"/>
        <v>2066683</v>
      </c>
      <c r="G5" s="5">
        <f t="shared" si="1"/>
        <v>0.47546115860112231</v>
      </c>
      <c r="H5" s="5">
        <f t="shared" si="2"/>
        <v>0.74141272867431984</v>
      </c>
      <c r="I5" s="8" t="s">
        <v>20</v>
      </c>
      <c r="M5" s="2"/>
    </row>
    <row r="6" spans="1:13" ht="36" customHeight="1" x14ac:dyDescent="0.25">
      <c r="A6" s="6" t="s">
        <v>4</v>
      </c>
      <c r="B6" s="9">
        <v>146176873</v>
      </c>
      <c r="C6" s="9">
        <f>109631667+20000000</f>
        <v>129631667</v>
      </c>
      <c r="D6" s="9">
        <f>109631667+19920319</f>
        <v>129551986</v>
      </c>
      <c r="E6" s="9">
        <f t="shared" si="3"/>
        <v>16545206</v>
      </c>
      <c r="F6" s="9">
        <f t="shared" si="0"/>
        <v>16624887</v>
      </c>
      <c r="G6" s="5">
        <f t="shared" si="1"/>
        <v>0.88681379167277707</v>
      </c>
      <c r="H6" s="5">
        <f t="shared" si="2"/>
        <v>0.8862686917649415</v>
      </c>
      <c r="I6" s="8" t="s">
        <v>21</v>
      </c>
      <c r="M6" s="2"/>
    </row>
    <row r="7" spans="1:13" ht="133.5" customHeight="1" x14ac:dyDescent="0.25">
      <c r="A7" s="7" t="s">
        <v>3</v>
      </c>
      <c r="B7" s="10">
        <v>176748620</v>
      </c>
      <c r="C7" s="10">
        <v>16425019</v>
      </c>
      <c r="D7" s="10">
        <f>3999936+16425019+2999952</f>
        <v>23424907</v>
      </c>
      <c r="E7" s="10">
        <f t="shared" si="3"/>
        <v>160323601</v>
      </c>
      <c r="F7" s="10">
        <f t="shared" si="0"/>
        <v>153323713</v>
      </c>
      <c r="G7" s="5">
        <f t="shared" si="1"/>
        <v>9.2928697265076243E-2</v>
      </c>
      <c r="H7" s="5">
        <f t="shared" si="2"/>
        <v>0.13253233320859875</v>
      </c>
      <c r="I7" s="8" t="s">
        <v>24</v>
      </c>
      <c r="M7" s="2"/>
    </row>
    <row r="8" spans="1:13" ht="30" x14ac:dyDescent="0.25">
      <c r="A8" s="6" t="s">
        <v>2</v>
      </c>
      <c r="B8" s="9">
        <v>71300018</v>
      </c>
      <c r="C8" s="9">
        <v>71300018</v>
      </c>
      <c r="D8" s="11">
        <v>71300018</v>
      </c>
      <c r="E8" s="9">
        <f t="shared" si="3"/>
        <v>0</v>
      </c>
      <c r="F8" s="9">
        <f t="shared" si="0"/>
        <v>0</v>
      </c>
      <c r="G8" s="5">
        <f t="shared" si="1"/>
        <v>1</v>
      </c>
      <c r="H8" s="5">
        <f t="shared" si="2"/>
        <v>1</v>
      </c>
      <c r="I8" s="8" t="s">
        <v>26</v>
      </c>
      <c r="M8" s="2"/>
    </row>
    <row r="9" spans="1:13" ht="60" x14ac:dyDescent="0.25">
      <c r="A9" s="7" t="s">
        <v>1</v>
      </c>
      <c r="B9" s="10">
        <v>157369696</v>
      </c>
      <c r="C9" s="10">
        <v>60520000</v>
      </c>
      <c r="D9" s="10">
        <f>20020000+40500000</f>
        <v>60520000</v>
      </c>
      <c r="E9" s="10">
        <f t="shared" si="3"/>
        <v>96849696</v>
      </c>
      <c r="F9" s="10">
        <f t="shared" si="0"/>
        <v>96849696</v>
      </c>
      <c r="G9" s="5">
        <f t="shared" si="1"/>
        <v>0.3845721351587284</v>
      </c>
      <c r="H9" s="5">
        <f t="shared" si="2"/>
        <v>0.3845721351587284</v>
      </c>
      <c r="I9" s="8" t="s">
        <v>25</v>
      </c>
      <c r="M9" s="2"/>
    </row>
    <row r="10" spans="1:13" ht="30" x14ac:dyDescent="0.25">
      <c r="A10" s="6" t="s">
        <v>0</v>
      </c>
      <c r="B10" s="9">
        <v>76710000</v>
      </c>
      <c r="C10" s="9">
        <f>7357480+4199933</f>
        <v>11557413</v>
      </c>
      <c r="D10" s="11">
        <f>3700000+999984+6101893</f>
        <v>10801877</v>
      </c>
      <c r="E10" s="9">
        <f t="shared" si="3"/>
        <v>65152587</v>
      </c>
      <c r="F10" s="9">
        <f>B10-D10</f>
        <v>65908123</v>
      </c>
      <c r="G10" s="5">
        <f t="shared" si="1"/>
        <v>0.15066370746969104</v>
      </c>
      <c r="H10" s="5">
        <f t="shared" si="2"/>
        <v>0.14081445704601747</v>
      </c>
      <c r="I10" s="8" t="s">
        <v>22</v>
      </c>
      <c r="M10" s="2"/>
    </row>
    <row r="11" spans="1:13" x14ac:dyDescent="0.25">
      <c r="I11" s="12"/>
    </row>
    <row r="12" spans="1:13" x14ac:dyDescent="0.25">
      <c r="E12" s="2"/>
      <c r="F12" s="2"/>
      <c r="G12" s="2"/>
      <c r="H12" s="2"/>
    </row>
    <row r="13" spans="1:13" x14ac:dyDescent="0.25">
      <c r="E13" s="2"/>
      <c r="F13" s="2"/>
      <c r="G13" s="2"/>
      <c r="H13" s="2"/>
    </row>
    <row r="14" spans="1:13" x14ac:dyDescent="0.25">
      <c r="E14" s="2"/>
      <c r="F14" s="2"/>
      <c r="G14" s="2"/>
      <c r="H14" s="2"/>
    </row>
    <row r="15" spans="1:13" x14ac:dyDescent="0.25">
      <c r="E15" s="2"/>
      <c r="F15" s="2"/>
      <c r="G15" s="2"/>
      <c r="H15" s="2"/>
    </row>
    <row r="16" spans="1:13" x14ac:dyDescent="0.25">
      <c r="E16" s="2"/>
      <c r="F16" s="2"/>
      <c r="G16" s="2"/>
      <c r="H16" s="2"/>
    </row>
    <row r="17" spans="5:8" x14ac:dyDescent="0.25">
      <c r="E17" s="2"/>
      <c r="F17" s="2"/>
      <c r="G17" s="2"/>
      <c r="H17" s="2"/>
    </row>
    <row r="18" spans="5:8" x14ac:dyDescent="0.25">
      <c r="E18" s="2"/>
      <c r="F18" s="2"/>
      <c r="G18" s="2"/>
      <c r="H18" s="2"/>
    </row>
    <row r="19" spans="5:8" x14ac:dyDescent="0.25">
      <c r="E19" s="2"/>
      <c r="F19" s="2"/>
      <c r="G19" s="2"/>
      <c r="H19" s="2"/>
    </row>
  </sheetData>
  <conditionalFormatting sqref="G2:H10">
    <cfRule type="cellIs" dxfId="3" priority="6" operator="greaterThanOrEqual">
      <formula>0.6</formula>
    </cfRule>
    <cfRule type="cellIs" priority="7" operator="greaterThan">
      <formula>0.6</formula>
    </cfRule>
    <cfRule type="cellIs" dxfId="2" priority="8" operator="between">
      <formula>0.3</formula>
      <formula>0.6</formula>
    </cfRule>
    <cfRule type="cellIs" dxfId="1" priority="9" operator="lessThan">
      <formula>0.3</formula>
    </cfRule>
    <cfRule type="cellIs" dxfId="0" priority="10" operator="between">
      <formula>"L4"</formula>
      <formula>"L12"</formula>
    </cfRule>
  </conditionalFormatting>
  <pageMargins left="0.7" right="0.7" top="0.75" bottom="0.75" header="0.3" footer="0.3"/>
  <pageSetup paperSize="9" scale="74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BPUNONLINE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DIR-PLANEACIÓN</dc:creator>
  <cp:lastModifiedBy>USUARIO</cp:lastModifiedBy>
  <cp:lastPrinted>2026-05-06T19:34:09Z</cp:lastPrinted>
  <dcterms:created xsi:type="dcterms:W3CDTF">2025-09-04T22:48:14Z</dcterms:created>
  <dcterms:modified xsi:type="dcterms:W3CDTF">2026-05-25T13:47:48Z</dcterms:modified>
</cp:coreProperties>
</file>