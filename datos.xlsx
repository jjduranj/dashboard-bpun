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esktop\DashboardBPUN\"/>
    </mc:Choice>
  </mc:AlternateContent>
  <xr:revisionPtr revIDLastSave="0" documentId="13_ncr:1_{E3E9064C-F963-467D-B9CA-7E98095FD42A}" xr6:coauthVersionLast="47" xr6:coauthVersionMax="47" xr10:uidLastSave="{00000000-0000-0000-0000-000000000000}"/>
  <bookViews>
    <workbookView xWindow="28680" yWindow="-120" windowWidth="29040" windowHeight="15720" xr2:uid="{7CA11827-7B77-45A3-BB78-47117283BE61}"/>
  </bookViews>
  <sheets>
    <sheet name="BPUNONLINE" sheetId="1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 i="14" l="1"/>
  <c r="C10" i="14"/>
  <c r="D9" i="14"/>
  <c r="D7" i="14"/>
  <c r="C7" i="14"/>
  <c r="D6" i="14"/>
  <c r="C6" i="14"/>
  <c r="H6" i="14"/>
  <c r="G6" i="14"/>
  <c r="D5" i="14"/>
  <c r="E5" i="14"/>
  <c r="C5" i="14"/>
  <c r="D4" i="14"/>
  <c r="D3" i="14"/>
  <c r="E2" i="14"/>
  <c r="H8" i="14"/>
  <c r="H2" i="14"/>
  <c r="G4" i="14"/>
  <c r="G3" i="14"/>
  <c r="G5" i="14"/>
  <c r="G7" i="14"/>
  <c r="G8" i="14"/>
  <c r="G9" i="14"/>
  <c r="G2" i="14"/>
  <c r="F2" i="14"/>
  <c r="G10" i="14"/>
  <c r="H7" i="14"/>
  <c r="F6" i="14" l="1"/>
  <c r="F7" i="14"/>
  <c r="F8" i="14"/>
  <c r="E3" i="14"/>
  <c r="F3" i="14" l="1"/>
  <c r="H3" i="14"/>
  <c r="E4" i="14"/>
  <c r="E6" i="14"/>
  <c r="E7" i="14"/>
  <c r="E8" i="14"/>
  <c r="E9" i="14"/>
  <c r="E10" i="14"/>
  <c r="H4" i="14" l="1"/>
  <c r="F4" i="14"/>
  <c r="H10" i="14"/>
  <c r="F10" i="14"/>
  <c r="H5" i="14"/>
  <c r="F5" i="14"/>
  <c r="H9" i="14"/>
  <c r="F9" i="14"/>
</calcChain>
</file>

<file path=xl/sharedStrings.xml><?xml version="1.0" encoding="utf-8"?>
<sst xmlns="http://schemas.openxmlformats.org/spreadsheetml/2006/main" count="27" uniqueCount="27">
  <si>
    <t>400000047042 UDF</t>
  </si>
  <si>
    <t>400000047013 UGI</t>
  </si>
  <si>
    <t>400000047011 SGC</t>
  </si>
  <si>
    <t>400000047010 SGA</t>
  </si>
  <si>
    <t>400000047009 IRI</t>
  </si>
  <si>
    <t>400000047005 Egre</t>
  </si>
  <si>
    <t>400000047004 IMANI</t>
  </si>
  <si>
    <t>400000047003 GTI</t>
  </si>
  <si>
    <t>400000047001 Medialab</t>
  </si>
  <si>
    <t>Código QUIPU</t>
  </si>
  <si>
    <t>Observaciones</t>
  </si>
  <si>
    <t>Valor Apropiación Vigencia</t>
  </si>
  <si>
    <t>Valor compromisos</t>
  </si>
  <si>
    <t>Saldo por Comprometer</t>
  </si>
  <si>
    <t>Valor Compromisos + CDP en Trámite</t>
  </si>
  <si>
    <t>saldo por comprometer con  CDP</t>
  </si>
  <si>
    <t>% Comprometido contractualmente</t>
  </si>
  <si>
    <t>% por comprometer con CDP en Trámite</t>
  </si>
  <si>
    <t>Se logra la contratación del proveedor (1017162588-RAMIREZ SANCHEZ
JULIAN ANDRES)  mediante ODC 20 que gestionara la entrega de equipos tecnológicoas para el fortalecimiento del área de medialabs de la Sede Amazonia, El saldo restante está en proceso de avales y directriz técnica por parta de la Dirección Nacional de Aplicativos, Dirección Nacional de Estratégia Digital y Unimedios, que permita la contratación del tercero que dearrollará la página web para el segundo semestre.</t>
  </si>
  <si>
    <t>Se logra la contratación de los siguientes proveedores para dar cumplimiento a la actividad de suministro de equipos tecnológicos contemplado en las actividades de fortalecimiento de las áreas academico administrativas.
ODC 17 830058072-SISTEMAS Y ACCESORIOS SAS: 46.545.339.00
ODC 7 830058072-SISTEMAS Y ACCESORIOS SAS: 10.472.000.00
ODC 6 1017162588-RAMIREZ SANCHEZ JULIAN ANDRES: 36.200.000
ODC 9 830058072-SISTEMAS Y ACCESORIOS SAS: 12.614.000
ODC 23 811000242-C&amp;S TECNOLOGIA S.A.S. BIC: 17.388.000
CDP en trámite:
CDP 245 por   7.000.000
CDP 209 por 21.153.276
CDP 245 por 31.846.724
Saldo para renovación de licencias tecnológicas en agosto</t>
  </si>
  <si>
    <t xml:space="preserve">En el proceso se contrata el tercero encargado de la elaboración de las guías de antropología mediante orden OSE 13 (1121217733-ZULUAGA RAMIREZ
LUIS GONZALO) por 13.596.000
Para la elaboración de la revista mundo amazónico y notimani se contrata al tercero OSE 21 (1033699335-CAMACHO TRIANA INGRI GISELA) por 46.000.000
Cdp en trámite: 
-CDP 284 Revista mundo amazónico  (diagramación): 3.514.000
-CDP 305 Elaboración y socialización de guías de laboratorio restantes: 13.000.00
</t>
  </si>
  <si>
    <t>Se realiza la contratación del tercero  (40395402-CANO TABARES
LUCERO HERMELINDA) mediante OSU 20 por 3.799.984 para el evento de egresados, en el cual se realiza un compartir que incluye alimentación.
Se realiza la contratación del tercero (830000468-EDITORIAL JL IMPRESORES S.A.S.) OSU 23 por 2.125.540
El excedente para reunión coordinadores compra de tiquetes y viáticos: 2.066.683</t>
  </si>
  <si>
    <t>Se realiza la contratación del tercero (1053814346-USMA OSPINA ANA
BOLENA) mediante OSE 2 por 48.988.333 para acompañar las actividades relacionadas con el proyecto de inversión autonomo desde la oficina de enlace DRE,
Se realiza la contratación del tercero (1026251756-GARZON GARZON
LINA PAOLA) mediante OSE 3 por 60.643.334 para acompañar las actividades de creación y gestión de proyectos estratégicos de la Sede Amazonia.
Se realiza la contratación del terecero (860000018-AGENCIA DE VIAJES Y
TURISMO AVIATUR S A S) mediante OSU 22  por 20.000.000 para el suministro de tiquetes áereos para el apoyo de transporte en las actividades nacionales e internacionales formuladas en la vigencia 2026.
El excedente está proyectado para el pago de viáticos de funcionarios en comisión.</t>
  </si>
  <si>
    <r>
      <t xml:space="preserve">Se realiza la contratación del tercero (40395402-CANO TABARES
LUCERO HERMELINDA) OSU 27 por valor de 3.979.254 para Evento FESTA
Se realiza la contratación del tercero (15878575-PIJACHI KUYUEDO
ANGEL MARIA) OSE 56 por valor de 16.425.019 para Instalación de placas del inventario forestal.
Se realiza la contratación del tercero (900646863-ORIGEN S.A.S. E.S.P.) mediante OSE 58 por 2.999.952 para Gestión de residuos peligrosos para disposición final
Pendiente Eliminar CDP 107 por 0 pesos.
</t>
    </r>
    <r>
      <rPr>
        <b/>
        <sz val="11"/>
        <color theme="1"/>
        <rFont val="Calibri"/>
        <family val="2"/>
        <scheme val="minor"/>
      </rPr>
      <t>Proyectado 2026 - 2:
-</t>
    </r>
    <r>
      <rPr>
        <sz val="11"/>
        <color theme="1"/>
        <rFont val="Calibri"/>
        <family val="2"/>
        <scheme val="minor"/>
      </rPr>
      <t xml:space="preserve">Insumos con SODECAR: 40.000.000 
-Profesional para solventar las necesidades de Fortalecimiento de las Capacidades de captación y distribución de agua potable. 70.000.000 </t>
    </r>
  </si>
  <si>
    <t xml:space="preserve">El recurso fue comprometido contractualmente en su totalidad, pendiente ejecución.
Se realizó la contratación del tercero (901720126-APPIS GROUP S.A.S)  OSE 55 por 55.000.018 para el desarrollo de los 3 módulos, a la fecha esta finalizando el primer módulo de encuestas de satisfacción de usuarios.
Se realizó la contratación del tercero (800184195-BUREAU VERITAS COLOMBIA LTDA) mediante OSE 43 por 6.000.000 para la formación de 7 auditores en iso 9001 de 2015.
Se realizó la contratación del tercero (800003122-CAJA DE COMPENSACION FAMILIAR DEL AMAZONAS) mediante OSE 45 por 10.300.000 para la realización de 3 talleres.
 </t>
  </si>
  <si>
    <r>
      <t xml:space="preserve">Se realiza la contratación del tercero (79486054-GARZON BENALCAZAR
JORGE RODRIGO) OSE 19 por 20.020.000 para la realización de las actividades de
Se realiza la contratación del tercero (1090492312-ROJAS MURILLO
FABIAN ANDELFO) OSE 28 por 40.500.000 para realizar las actividades de 
</t>
    </r>
    <r>
      <rPr>
        <b/>
        <sz val="11"/>
        <color theme="1"/>
        <rFont val="Calibri"/>
        <family val="2"/>
        <scheme val="minor"/>
      </rPr>
      <t>Proyectado:</t>
    </r>
    <r>
      <rPr>
        <sz val="11"/>
        <color theme="1"/>
        <rFont val="Calibri"/>
        <family val="2"/>
        <scheme val="minor"/>
      </rPr>
      <t xml:space="preserve">
-Se proyecta realizar la campaña en articulación con un proveedor, se requiere aval del Director de Sede: 40.000.000
-Prestación de servicios profesionales: 56.849.696</t>
    </r>
  </si>
  <si>
    <t>Se realiza el pago de viáticos de los funcionarios en comisión:
Avance 159 1113633261-HERRERA HERRERA CARLOS ANDRES 1,119,144.00
Avance 160 1002620173-BOHORQUEZ ORDUZ ERIKA LIZET 1,115,160.00
Avance 161 1128277873-OTALVARO BETANCUR STEEVEN 1,115,160.00
Para apoyo de las actividades de premovilidad.
Se realiza la contratación del tercero (860000018-AGENCIA DE VIAJES Y
TURISMO AVIATUR S A S) mediante OSU 19 por 5.199.981 para las actividades de Premovilidad.
Se realiza la contratación del tercero (860000018-AGENCIA DE VIAJES Y
TURISMO AVIATUR S A S) mediante OSU 25 por 6.646.480 para las actividades de promoción de los programas curriculares en el territorio.
Se realiza la contratación del tercero (43152627-AVILA RAMOS CLARA
ISABEL) mediante OSE 51 por 3.007.968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</si>
</sst>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5" formatCode="0.0%"/>
  </numFmts>
  <fonts count="8" x14ac:knownFonts="1">
    <font>
      <sz val="11"/>
      <color theme="1"/>
      <name val="Calibri"/>
      <family val="2"/>
      <scheme val="minor"/>
    </font>
    <font>
      <b/>
      <sz val="11"/>
      <color theme="1"/>
      <name val="Calibri"/>
      <family val="2"/>
      <scheme val="minor"/>
    </font>
    <font>
      <sz val="11"/>
      <name val="Calibri"/>
      <family val="2"/>
    </font>
    <font>
      <sz val="9"/>
      <color rgb="FF000000"/>
      <name val="Arial"/>
      <family val="2"/>
    </font>
    <font>
      <b/>
      <sz val="9"/>
      <color rgb="FF000000"/>
      <name val="Arial"/>
      <family val="2"/>
    </font>
    <font>
      <sz val="9"/>
      <name val="Arial"/>
      <family val="2"/>
    </font>
    <font>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9" fontId="2" fillId="0" borderId="0" applyFont="0" applyFill="0" applyBorder="0" applyAlignment="0" applyProtection="0"/>
    <xf numFmtId="44" fontId="6" fillId="0" borderId="0" applyFont="0" applyFill="0" applyBorder="0" applyAlignment="0" applyProtection="0"/>
  </cellStyleXfs>
  <cellXfs count="14">
    <xf numFmtId="0" fontId="0" fillId="0" borderId="0" xfId="0"/>
    <xf numFmtId="0" fontId="0" fillId="0" borderId="1" xfId="0" applyBorder="1" applyAlignment="1">
      <alignment horizontal="left" vertical="center" wrapText="1"/>
    </xf>
    <xf numFmtId="0" fontId="2" fillId="0" borderId="0" xfId="1"/>
    <xf numFmtId="0" fontId="2" fillId="0" borderId="0" xfId="1" applyAlignment="1">
      <alignment horizontal="left" vertical="center" indent="1"/>
    </xf>
    <xf numFmtId="0" fontId="4" fillId="3" borderId="1" xfId="1" applyFont="1" applyFill="1" applyBorder="1" applyAlignment="1">
      <alignment horizontal="center" vertical="center" wrapText="1"/>
    </xf>
    <xf numFmtId="0" fontId="3" fillId="0" borderId="1" xfId="1" applyFont="1" applyBorder="1" applyAlignment="1">
      <alignment horizontal="left" vertical="center" wrapText="1"/>
    </xf>
    <xf numFmtId="0" fontId="3" fillId="2" borderId="1" xfId="1" applyFont="1" applyFill="1" applyBorder="1" applyAlignment="1">
      <alignment horizontal="left" vertical="center" wrapText="1"/>
    </xf>
    <xf numFmtId="0" fontId="0" fillId="0" borderId="1" xfId="0" applyBorder="1" applyAlignment="1">
      <alignment vertical="center" wrapText="1"/>
    </xf>
    <xf numFmtId="164" fontId="3" fillId="0" borderId="1" xfId="3" applyNumberFormat="1" applyFont="1" applyBorder="1" applyAlignment="1">
      <alignment vertical="center" wrapText="1"/>
    </xf>
    <xf numFmtId="164" fontId="3" fillId="2" borderId="1" xfId="3" applyNumberFormat="1" applyFont="1" applyFill="1" applyBorder="1" applyAlignment="1">
      <alignment vertical="center" wrapText="1"/>
    </xf>
    <xf numFmtId="164" fontId="5" fillId="0" borderId="1" xfId="3" applyNumberFormat="1" applyFont="1" applyBorder="1" applyAlignment="1">
      <alignment vertical="center" wrapText="1"/>
    </xf>
    <xf numFmtId="0" fontId="7" fillId="0" borderId="0" xfId="0" applyFont="1"/>
    <xf numFmtId="164" fontId="2" fillId="0" borderId="0" xfId="1" applyNumberFormat="1"/>
    <xf numFmtId="165" fontId="4" fillId="0" borderId="1" xfId="2" applyNumberFormat="1" applyFont="1" applyBorder="1" applyAlignment="1">
      <alignment horizontal="center" vertical="center" wrapText="1"/>
    </xf>
  </cellXfs>
  <cellStyles count="4">
    <cellStyle name="Moneda" xfId="3" builtinId="4"/>
    <cellStyle name="Normal" xfId="0" builtinId="0"/>
    <cellStyle name="Normal 2" xfId="1" xr:uid="{A1977BB7-C4B9-4B62-A4F6-DF20810F36B6}"/>
    <cellStyle name="Porcentaje 2" xfId="2" xr:uid="{95A269F0-FDBF-420A-8C1F-EA732F994DC8}"/>
  </cellStyles>
  <dxfs count="4">
    <dxf>
      <fill>
        <patternFill>
          <bgColor rgb="FF92D050"/>
        </patternFill>
      </fill>
    </dxf>
    <dxf>
      <fill>
        <patternFill>
          <bgColor rgb="FFFF0000"/>
        </patternFill>
      </fill>
    </dxf>
    <dxf>
      <fill>
        <patternFill>
          <bgColor rgb="FFFFC000"/>
        </patternFill>
      </fill>
    </dxf>
    <dxf>
      <fill>
        <patternFill>
          <bgColor rgb="FF92D050"/>
        </patternFill>
      </fill>
    </dxf>
  </dxfs>
  <tableStyles count="0" defaultTableStyle="TableStyleMedium2" defaultPivotStyle="PivotStyleLight16"/>
  <colors>
    <mruColors>
      <color rgb="FFFAFEC6"/>
      <color rgb="FFCEF8FE"/>
      <color rgb="FFEBEBFF"/>
      <color rgb="FFD5FFDC"/>
      <color rgb="FFFFE7F6"/>
      <color rgb="FFF26448"/>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1840-27EB-43A7-86CC-12ED6B7ECF92}">
  <sheetPr>
    <pageSetUpPr fitToPage="1"/>
  </sheetPr>
  <dimension ref="A1:M19"/>
  <sheetViews>
    <sheetView tabSelected="1" topLeftCell="A10" zoomScale="115" zoomScaleNormal="115" workbookViewId="0">
      <selection activeCell="B16" sqref="B16"/>
    </sheetView>
  </sheetViews>
  <sheetFormatPr baseColWidth="10" defaultRowHeight="15" x14ac:dyDescent="0.25"/>
  <cols>
    <col min="1" max="1" width="13.140625" customWidth="1"/>
    <col min="2" max="2" width="13.7109375" customWidth="1"/>
    <col min="3" max="3" width="14" customWidth="1"/>
    <col min="4" max="4" width="14.42578125" customWidth="1"/>
    <col min="5" max="5" width="13.7109375" customWidth="1"/>
    <col min="6" max="6" width="14.5703125" customWidth="1"/>
    <col min="7" max="7" width="15.7109375" customWidth="1"/>
    <col min="8" max="8" width="19.28515625" customWidth="1"/>
    <col min="9" max="9" width="73" customWidth="1"/>
  </cols>
  <sheetData>
    <row r="1" spans="1:13" ht="55.5" customHeight="1" x14ac:dyDescent="0.25">
      <c r="A1" s="4" t="s">
        <v>9</v>
      </c>
      <c r="B1" s="4" t="s">
        <v>11</v>
      </c>
      <c r="C1" s="4" t="s">
        <v>12</v>
      </c>
      <c r="D1" s="4" t="s">
        <v>14</v>
      </c>
      <c r="E1" s="4" t="s">
        <v>13</v>
      </c>
      <c r="F1" s="4" t="s">
        <v>15</v>
      </c>
      <c r="G1" s="4" t="s">
        <v>16</v>
      </c>
      <c r="H1" s="4" t="s">
        <v>17</v>
      </c>
      <c r="I1" s="4" t="s">
        <v>10</v>
      </c>
    </row>
    <row r="2" spans="1:13" ht="122.25" customHeight="1" x14ac:dyDescent="0.25">
      <c r="A2" s="5" t="s">
        <v>8</v>
      </c>
      <c r="B2" s="8">
        <v>94800000</v>
      </c>
      <c r="C2" s="8">
        <v>45200000</v>
      </c>
      <c r="D2" s="10">
        <v>45200000</v>
      </c>
      <c r="E2" s="8">
        <f>B2-C2</f>
        <v>49600000</v>
      </c>
      <c r="F2" s="8">
        <f>B2-D2</f>
        <v>49600000</v>
      </c>
      <c r="G2" s="13">
        <f>C2/B2</f>
        <v>0.47679324894514769</v>
      </c>
      <c r="H2" s="13">
        <f>D2/B2</f>
        <v>0.47679324894514769</v>
      </c>
      <c r="I2" s="7" t="s">
        <v>18</v>
      </c>
    </row>
    <row r="3" spans="1:13" ht="237.75" customHeight="1" x14ac:dyDescent="0.25">
      <c r="A3" s="6" t="s">
        <v>7</v>
      </c>
      <c r="B3" s="9">
        <v>201960587</v>
      </c>
      <c r="C3" s="9">
        <v>123219339</v>
      </c>
      <c r="D3" s="9">
        <f>183219339</f>
        <v>183219339</v>
      </c>
      <c r="E3" s="9">
        <f>B3-C3</f>
        <v>78741248</v>
      </c>
      <c r="F3" s="9">
        <f t="shared" ref="F3:F9" si="0">B3-D3</f>
        <v>18741248</v>
      </c>
      <c r="G3" s="13">
        <f t="shared" ref="G3:G10" si="1">C3/B3</f>
        <v>0.61011576976650395</v>
      </c>
      <c r="H3" s="13">
        <f>D3/B3</f>
        <v>0.90720343865904884</v>
      </c>
      <c r="I3" s="1" t="s">
        <v>19</v>
      </c>
      <c r="M3" s="3"/>
    </row>
    <row r="4" spans="1:13" ht="182.25" customHeight="1" x14ac:dyDescent="0.25">
      <c r="A4" s="5" t="s">
        <v>6</v>
      </c>
      <c r="B4" s="8">
        <v>113998014</v>
      </c>
      <c r="C4" s="8">
        <v>59596000</v>
      </c>
      <c r="D4" s="8">
        <f>13596000+46000000+3514000+13000000</f>
        <v>76110000</v>
      </c>
      <c r="E4" s="8">
        <f t="shared" ref="E4:E10" si="2">B4-C4</f>
        <v>54402014</v>
      </c>
      <c r="F4" s="8">
        <f t="shared" si="0"/>
        <v>37888014</v>
      </c>
      <c r="G4" s="13">
        <f>C4/B4</f>
        <v>0.5227810372205256</v>
      </c>
      <c r="H4" s="13">
        <f t="shared" ref="H4:H10" si="3">D4/B4</f>
        <v>0.66764320999486881</v>
      </c>
      <c r="I4" s="7" t="s">
        <v>20</v>
      </c>
      <c r="M4" s="2"/>
    </row>
    <row r="5" spans="1:13" ht="132" customHeight="1" x14ac:dyDescent="0.25">
      <c r="A5" s="6" t="s">
        <v>5</v>
      </c>
      <c r="B5" s="9">
        <v>7992207</v>
      </c>
      <c r="C5" s="9">
        <f>3799984+2125540</f>
        <v>5925524</v>
      </c>
      <c r="D5" s="9">
        <f>3799984+2125540</f>
        <v>5925524</v>
      </c>
      <c r="E5" s="9">
        <f>B5-C5</f>
        <v>2066683</v>
      </c>
      <c r="F5" s="9">
        <f t="shared" si="0"/>
        <v>2066683</v>
      </c>
      <c r="G5" s="13">
        <f t="shared" si="1"/>
        <v>0.74141272867431984</v>
      </c>
      <c r="H5" s="13">
        <f t="shared" si="3"/>
        <v>0.74141272867431984</v>
      </c>
      <c r="I5" s="7" t="s">
        <v>21</v>
      </c>
      <c r="M5" s="2"/>
    </row>
    <row r="6" spans="1:13" ht="232.5" customHeight="1" x14ac:dyDescent="0.25">
      <c r="A6" s="5" t="s">
        <v>4</v>
      </c>
      <c r="B6" s="8">
        <v>146176873</v>
      </c>
      <c r="C6" s="8">
        <f>48988333+20000000+60643334</f>
        <v>129631667</v>
      </c>
      <c r="D6" s="8">
        <f>48988333+20000000+60643334</f>
        <v>129631667</v>
      </c>
      <c r="E6" s="8">
        <f t="shared" si="2"/>
        <v>16545206</v>
      </c>
      <c r="F6" s="8">
        <f t="shared" si="0"/>
        <v>16545206</v>
      </c>
      <c r="G6" s="13">
        <f>C6/B6</f>
        <v>0.88681379167277707</v>
      </c>
      <c r="H6" s="13">
        <f>D6/B6</f>
        <v>0.88681379167277707</v>
      </c>
      <c r="I6" s="7" t="s">
        <v>22</v>
      </c>
      <c r="M6" s="2"/>
    </row>
    <row r="7" spans="1:13" ht="209.25" customHeight="1" x14ac:dyDescent="0.25">
      <c r="A7" s="6" t="s">
        <v>3</v>
      </c>
      <c r="B7" s="9">
        <v>176748620</v>
      </c>
      <c r="C7" s="9">
        <f>16425019+3979254</f>
        <v>20404273</v>
      </c>
      <c r="D7" s="9">
        <f>16425019+3979254</f>
        <v>20404273</v>
      </c>
      <c r="E7" s="9">
        <f t="shared" si="2"/>
        <v>156344347</v>
      </c>
      <c r="F7" s="9">
        <f t="shared" si="0"/>
        <v>156344347</v>
      </c>
      <c r="G7" s="13">
        <f t="shared" si="1"/>
        <v>0.11544233273221596</v>
      </c>
      <c r="H7" s="13">
        <f t="shared" si="3"/>
        <v>0.11544233273221596</v>
      </c>
      <c r="I7" s="7" t="s">
        <v>23</v>
      </c>
      <c r="M7" s="2"/>
    </row>
    <row r="8" spans="1:13" ht="225" x14ac:dyDescent="0.25">
      <c r="A8" s="5" t="s">
        <v>2</v>
      </c>
      <c r="B8" s="8">
        <v>71300018</v>
      </c>
      <c r="C8" s="8">
        <v>71300018</v>
      </c>
      <c r="D8" s="10">
        <v>71300018</v>
      </c>
      <c r="E8" s="8">
        <f t="shared" si="2"/>
        <v>0</v>
      </c>
      <c r="F8" s="8">
        <f t="shared" si="0"/>
        <v>0</v>
      </c>
      <c r="G8" s="13">
        <f t="shared" si="1"/>
        <v>1</v>
      </c>
      <c r="H8" s="13">
        <f t="shared" si="3"/>
        <v>1</v>
      </c>
      <c r="I8" s="7" t="s">
        <v>24</v>
      </c>
      <c r="M8" s="2"/>
    </row>
    <row r="9" spans="1:13" ht="165" x14ac:dyDescent="0.25">
      <c r="A9" s="6" t="s">
        <v>1</v>
      </c>
      <c r="B9" s="9">
        <v>157369696</v>
      </c>
      <c r="C9" s="9">
        <v>60520000</v>
      </c>
      <c r="D9" s="9">
        <f>20020000+40500000</f>
        <v>60520000</v>
      </c>
      <c r="E9" s="9">
        <f t="shared" si="2"/>
        <v>96849696</v>
      </c>
      <c r="F9" s="9">
        <f t="shared" si="0"/>
        <v>96849696</v>
      </c>
      <c r="G9" s="13">
        <f t="shared" si="1"/>
        <v>0.3845721351587284</v>
      </c>
      <c r="H9" s="13">
        <f t="shared" si="3"/>
        <v>0.3845721351587284</v>
      </c>
      <c r="I9" s="7" t="s">
        <v>25</v>
      </c>
      <c r="M9" s="2"/>
    </row>
    <row r="10" spans="1:13" ht="255" x14ac:dyDescent="0.25">
      <c r="A10" s="5" t="s">
        <v>0</v>
      </c>
      <c r="B10" s="8">
        <v>76710000</v>
      </c>
      <c r="C10" s="8">
        <f>1119144+1115160+1115160+5199981+6646480+3007968</f>
        <v>18203893</v>
      </c>
      <c r="D10" s="10">
        <f>1119144+1115160+1115160+5199981+6646480+3007968</f>
        <v>18203893</v>
      </c>
      <c r="E10" s="8">
        <f t="shared" si="2"/>
        <v>58506107</v>
      </c>
      <c r="F10" s="8">
        <f>B10-D10</f>
        <v>58506107</v>
      </c>
      <c r="G10" s="13">
        <f t="shared" si="1"/>
        <v>0.2373079520271151</v>
      </c>
      <c r="H10" s="13">
        <f t="shared" si="3"/>
        <v>0.2373079520271151</v>
      </c>
      <c r="I10" s="7" t="s">
        <v>26</v>
      </c>
      <c r="M10" s="2"/>
    </row>
    <row r="11" spans="1:13" x14ac:dyDescent="0.25">
      <c r="I11" s="11"/>
    </row>
    <row r="12" spans="1:13" x14ac:dyDescent="0.25">
      <c r="E12" s="2"/>
      <c r="F12" s="2"/>
      <c r="G12" s="2"/>
      <c r="H12" s="2"/>
    </row>
    <row r="13" spans="1:13" x14ac:dyDescent="0.25">
      <c r="E13" s="2"/>
      <c r="F13" s="2"/>
      <c r="G13" s="2"/>
      <c r="H13" s="2"/>
    </row>
    <row r="14" spans="1:13" x14ac:dyDescent="0.25">
      <c r="E14" s="2"/>
      <c r="F14" s="2"/>
      <c r="G14" s="2"/>
      <c r="H14" s="2"/>
    </row>
    <row r="15" spans="1:13" x14ac:dyDescent="0.25">
      <c r="E15" s="2"/>
      <c r="F15" s="2"/>
      <c r="G15" s="12"/>
      <c r="H15" s="2"/>
    </row>
    <row r="16" spans="1:13" x14ac:dyDescent="0.25">
      <c r="E16" s="2"/>
      <c r="F16" s="2"/>
      <c r="G16" s="2"/>
      <c r="H16" s="2"/>
    </row>
    <row r="17" spans="5:8" x14ac:dyDescent="0.25">
      <c r="E17" s="2"/>
      <c r="F17" s="2"/>
      <c r="G17" s="2"/>
      <c r="H17" s="2"/>
    </row>
    <row r="18" spans="5:8" x14ac:dyDescent="0.25">
      <c r="E18" s="2"/>
      <c r="F18" s="2"/>
      <c r="G18" s="2"/>
      <c r="H18" s="2"/>
    </row>
    <row r="19" spans="5:8" x14ac:dyDescent="0.25">
      <c r="E19" s="2"/>
      <c r="F19" s="2"/>
      <c r="G19" s="2"/>
      <c r="H19" s="2"/>
    </row>
  </sheetData>
  <conditionalFormatting sqref="G2:H10">
    <cfRule type="cellIs" dxfId="3" priority="6" operator="greaterThanOrEqual">
      <formula>0.6</formula>
    </cfRule>
    <cfRule type="cellIs" priority="7" operator="greaterThan">
      <formula>0.6</formula>
    </cfRule>
    <cfRule type="cellIs" dxfId="2" priority="8" operator="between">
      <formula>0.3</formula>
      <formula>0.6</formula>
    </cfRule>
    <cfRule type="cellIs" dxfId="1" priority="9" operator="lessThan">
      <formula>0.3</formula>
    </cfRule>
    <cfRule type="cellIs" dxfId="0" priority="10" operator="between">
      <formula>"L4"</formula>
      <formula>"L12"</formula>
    </cfRule>
  </conditionalFormatting>
  <pageMargins left="0.7" right="0.7" top="0.75" bottom="0.75" header="0.3" footer="0.3"/>
  <pageSetup paperSize="9" scale="74"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BPUNONLINE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DIR-PLANEACIÓN</dc:creator>
  <cp:lastModifiedBy>USUARIO</cp:lastModifiedBy>
  <cp:lastPrinted>2026-05-06T19:34:09Z</cp:lastPrinted>
  <dcterms:created xsi:type="dcterms:W3CDTF">2025-09-04T22:48:14Z</dcterms:created>
  <dcterms:modified xsi:type="dcterms:W3CDTF">2026-06-17T19:46:04Z</dcterms:modified>
</cp:coreProperties>
</file>